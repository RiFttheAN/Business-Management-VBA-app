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A Fruit Co\"/>
    </mc:Choice>
  </mc:AlternateContent>
  <xr:revisionPtr revIDLastSave="0" documentId="13_ncr:1_{90A6F912-1780-44DD-A9E0-62A0CCC77D18}" xr6:coauthVersionLast="47" xr6:coauthVersionMax="47" xr10:uidLastSave="{00000000-0000-0000-0000-000000000000}"/>
  <bookViews>
    <workbookView xWindow="-108" yWindow="-108" windowWidth="23256" windowHeight="13176" tabRatio="676" activeTab="4" xr2:uid="{00000000-000D-0000-FFFF-FFFF00000000}"/>
  </bookViews>
  <sheets>
    <sheet name="NewBank" sheetId="65" r:id="rId1"/>
    <sheet name="NewBuyer" sheetId="3" r:id="rId2"/>
    <sheet name="SellerBill" sheetId="54" r:id="rId3"/>
    <sheet name="SellerBillDetails" sheetId="70" r:id="rId4"/>
    <sheet name="Home" sheetId="1" r:id="rId5"/>
    <sheet name="xyz_Pune_testName" sheetId="72" r:id="rId6"/>
    <sheet name="abc_dyari_testName" sheetId="71" r:id="rId7"/>
    <sheet name="temp_Sheet" sheetId="73" r:id="rId8"/>
    <sheet name="NewSeller" sheetId="2" r:id="rId9"/>
    <sheet name="NewGutkaEntry" sheetId="4" r:id="rId10"/>
    <sheet name="Editable" sheetId="5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72" l="1"/>
  <c r="F4" i="72" s="1"/>
  <c r="F5" i="72" s="1"/>
  <c r="A5" i="72"/>
  <c r="F3" i="71"/>
  <c r="F4" i="71" s="1"/>
  <c r="F5" i="71" s="1"/>
  <c r="F6" i="71" s="1"/>
  <c r="A6" i="71"/>
  <c r="A4" i="4"/>
  <c r="B5" i="71"/>
  <c r="A5" i="71"/>
  <c r="A4" i="72"/>
  <c r="A4" i="71"/>
  <c r="A3" i="4"/>
  <c r="A3" i="72"/>
  <c r="A3" i="71"/>
  <c r="A2" i="4"/>
  <c r="F2" i="72"/>
  <c r="A2" i="3"/>
  <c r="F2" i="71"/>
  <c r="A2" i="2"/>
  <c r="E33" i="54"/>
  <c r="G37" i="54"/>
  <c r="B42" i="54" s="1"/>
  <c r="G35" i="54"/>
  <c r="K29" i="54"/>
  <c r="G33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A40" i="54"/>
  <c r="G18" i="54" l="1"/>
</calcChain>
</file>

<file path=xl/sharedStrings.xml><?xml version="1.0" encoding="utf-8"?>
<sst xmlns="http://schemas.openxmlformats.org/spreadsheetml/2006/main" count="166" uniqueCount="109">
  <si>
    <t>Marka</t>
  </si>
  <si>
    <t>Address</t>
  </si>
  <si>
    <t>Phone no.</t>
  </si>
  <si>
    <t>Proprietor</t>
  </si>
  <si>
    <t>Date Added</t>
  </si>
  <si>
    <t>Entry No.</t>
  </si>
  <si>
    <t>Gutka Entry No</t>
  </si>
  <si>
    <t>Gutka No.</t>
  </si>
  <si>
    <t>Seller Trade Mark</t>
  </si>
  <si>
    <t>Seller Name</t>
  </si>
  <si>
    <t>Variety</t>
  </si>
  <si>
    <t>Total Boxes</t>
  </si>
  <si>
    <t>Advance</t>
  </si>
  <si>
    <t>Buyer Trade Mark</t>
  </si>
  <si>
    <t>Buyer Name</t>
  </si>
  <si>
    <t>Unloading Vehicle No</t>
  </si>
  <si>
    <t>Loading Vehicle No</t>
  </si>
  <si>
    <t>Seller Entry No</t>
  </si>
  <si>
    <t>Buyer Entry No</t>
  </si>
  <si>
    <t>Spur</t>
  </si>
  <si>
    <t xml:space="preserve">Royal </t>
  </si>
  <si>
    <t xml:space="preserve">Red Golden </t>
  </si>
  <si>
    <t>Golden</t>
  </si>
  <si>
    <t xml:space="preserve">Pear </t>
  </si>
  <si>
    <t xml:space="preserve">Richard </t>
  </si>
  <si>
    <t xml:space="preserve">Bags  </t>
  </si>
  <si>
    <t xml:space="preserve">Gala </t>
  </si>
  <si>
    <t xml:space="preserve">Proon </t>
  </si>
  <si>
    <t xml:space="preserve">Peach </t>
  </si>
  <si>
    <t xml:space="preserve">Khumani </t>
  </si>
  <si>
    <t>Other</t>
  </si>
  <si>
    <t>L-240</t>
  </si>
  <si>
    <t>6L</t>
  </si>
  <si>
    <t>7L</t>
  </si>
  <si>
    <t>Mix</t>
  </si>
  <si>
    <t>Half Box</t>
  </si>
  <si>
    <t>L-240 Rate</t>
  </si>
  <si>
    <t>6L Rate</t>
  </si>
  <si>
    <t>7L Rate</t>
  </si>
  <si>
    <t>Mix Rate</t>
  </si>
  <si>
    <t>Half Box Rate</t>
  </si>
  <si>
    <t>Other Rate</t>
  </si>
  <si>
    <t>Frieght</t>
  </si>
  <si>
    <t>Total Rate</t>
  </si>
  <si>
    <t>Seller</t>
  </si>
  <si>
    <t>Buyer</t>
  </si>
  <si>
    <t>Concatenated Name</t>
  </si>
  <si>
    <t xml:space="preserve">Date </t>
  </si>
  <si>
    <t>Date of creating entry</t>
  </si>
  <si>
    <t>S.No</t>
  </si>
  <si>
    <t>Date</t>
  </si>
  <si>
    <t>Seller Ledger</t>
  </si>
  <si>
    <t>Buyer Ledger</t>
  </si>
  <si>
    <t>Office</t>
  </si>
  <si>
    <t>JAI JAGA MATA SHEKHAL</t>
  </si>
  <si>
    <t>Prop.</t>
  </si>
  <si>
    <t>Manmohan(Nittu)</t>
  </si>
  <si>
    <t>Yashwant Singh Nagta</t>
  </si>
  <si>
    <t>Hanish Ranta</t>
  </si>
  <si>
    <t>SA</t>
  </si>
  <si>
    <t>SHIV AKSH FRUIT CO.</t>
  </si>
  <si>
    <t xml:space="preserve">FRUIT &amp; VEGETABLE COMMISSION AGENTS </t>
  </si>
  <si>
    <t>SHOP No. 76 NEW SUBZI MANDI, MEHANDLI, ROHRU</t>
  </si>
  <si>
    <t>To M/s</t>
  </si>
  <si>
    <t>No.</t>
  </si>
  <si>
    <t>Date:</t>
  </si>
  <si>
    <t>Product Details</t>
  </si>
  <si>
    <t>Amount</t>
  </si>
  <si>
    <t>Expenses</t>
  </si>
  <si>
    <t>AMOUNT</t>
  </si>
  <si>
    <t>Mandi.No</t>
  </si>
  <si>
    <t>Box</t>
  </si>
  <si>
    <t>Quantity</t>
  </si>
  <si>
    <t>Rate(Rs)</t>
  </si>
  <si>
    <t>Freight</t>
  </si>
  <si>
    <t>Forwarding Agent Com.</t>
  </si>
  <si>
    <t>Labour</t>
  </si>
  <si>
    <t>Store &amp; Other Expenses</t>
  </si>
  <si>
    <t>Misc.</t>
  </si>
  <si>
    <t>Sale Proceed Total</t>
  </si>
  <si>
    <t>Total</t>
  </si>
  <si>
    <t>Less Expenses</t>
  </si>
  <si>
    <t>Thank You</t>
  </si>
  <si>
    <t>Net. SALE</t>
  </si>
  <si>
    <t>Rs.</t>
  </si>
  <si>
    <t>has been credited in your account.</t>
  </si>
  <si>
    <t>Expenses have changed according to our shop rules. All</t>
  </si>
  <si>
    <t>disputes shall be settled at SHIMLA Jurisdiction.</t>
  </si>
  <si>
    <t>PROP.</t>
  </si>
  <si>
    <t>Bank Name</t>
  </si>
  <si>
    <t>Starting Balance</t>
  </si>
  <si>
    <t>Sheet name</t>
  </si>
  <si>
    <t>Bill No.</t>
  </si>
  <si>
    <t>Gutka Entry No.</t>
  </si>
  <si>
    <t>abc dyari</t>
  </si>
  <si>
    <t>testName</t>
  </si>
  <si>
    <t>abc_dyari_testName</t>
  </si>
  <si>
    <t>Particulars</t>
  </si>
  <si>
    <t>Debit</t>
  </si>
  <si>
    <t>Credit</t>
  </si>
  <si>
    <t>Balance</t>
  </si>
  <si>
    <t>New Buyer Entry No.</t>
  </si>
  <si>
    <t>xyz Pune</t>
  </si>
  <si>
    <t>xyz_Pune_testName</t>
  </si>
  <si>
    <t>New Seller Entry No.</t>
  </si>
  <si>
    <t>Gutka</t>
  </si>
  <si>
    <t>check 1</t>
  </si>
  <si>
    <t>For SHIV AKSH CO.</t>
  </si>
  <si>
    <t>Perticulars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</si>
</sst>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rgb="FFFF0000"/>
      <name val="Arial Black"/>
      <family val="2"/>
    </font>
    <font>
      <b/>
      <sz val="72"/>
      <color rgb="FFFF0000"/>
      <name val="Calibri"/>
      <family val="2"/>
      <scheme val="minor"/>
    </font>
    <font>
      <sz val="22"/>
      <color rgb="FFFF0000"/>
      <name val="Arial Black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2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6" fillId="0" borderId="0" xfId="0" applyFont="1"/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2" borderId="3" xfId="0" applyFill="1" applyBorder="1"/>
    <xf numFmtId="0" fontId="0" fillId="2" borderId="6" xfId="0" applyFill="1" applyBorder="1"/>
    <xf numFmtId="0" fontId="0" fillId="0" borderId="6" xfId="0" applyBorder="1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6" fillId="0" borderId="4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4" xfId="0" applyBorder="1"/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10" xfId="0" applyBorder="1"/>
    <xf numFmtId="0" fontId="0" fillId="0" borderId="0" xfId="0" applyBorder="1"/>
    <xf numFmtId="0" fontId="6" fillId="0" borderId="0" xfId="0" applyFont="1" applyBorder="1"/>
    <xf numFmtId="0" fontId="0" fillId="0" borderId="0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1" fillId="0" borderId="3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9" fillId="0" borderId="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7" fillId="2" borderId="13" xfId="0" applyFont="1" applyFill="1" applyBorder="1" applyAlignment="1">
      <alignment horizontal="left" vertical="center"/>
    </xf>
    <xf numFmtId="0" fontId="0" fillId="2" borderId="4" xfId="0" applyFill="1" applyBorder="1" applyAlignment="1">
      <alignment horizontal="right" vertical="center"/>
    </xf>
    <xf numFmtId="0" fontId="7" fillId="2" borderId="11" xfId="0" applyFont="1" applyFill="1" applyBorder="1" applyAlignment="1">
      <alignment horizontal="left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CBA36-556F-467B-B7DB-842B7CA309B1}">
  <sheetPr codeName="Sheet7"/>
  <dimension ref="A1:E2"/>
  <sheetViews>
    <sheetView workbookViewId="0">
      <selection activeCell="D19" sqref="D19"/>
    </sheetView>
  </sheetViews>
  <sheetFormatPr defaultRowHeight="14.4" x14ac:dyDescent="0.3"/>
  <cols>
    <col min="1" max="1" width="14.5546875" customWidth="1"/>
    <col min="2" max="2" width="21.6640625" customWidth="1"/>
    <col min="3" max="3" width="14.88671875" customWidth="1"/>
    <col min="4" max="4" width="19.77734375" customWidth="1"/>
    <col min="5" max="5" width="22.77734375" customWidth="1"/>
    <col min="6" max="6" width="12.109375" customWidth="1"/>
    <col min="7" max="7" width="23" customWidth="1"/>
    <col min="8" max="8" width="20.109375" customWidth="1"/>
  </cols>
  <sheetData>
    <row r="1" spans="1:5" x14ac:dyDescent="0.3">
      <c r="A1" t="s">
        <v>5</v>
      </c>
      <c r="B1" t="s">
        <v>4</v>
      </c>
      <c r="C1" t="s">
        <v>89</v>
      </c>
      <c r="D1" t="s">
        <v>90</v>
      </c>
      <c r="E1" t="s">
        <v>91</v>
      </c>
    </row>
    <row r="2" spans="1:5" x14ac:dyDescent="0.3">
      <c r="B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06856-058B-4BB1-8D1D-18B3FE13B450}">
  <sheetPr codeName="Sheet3"/>
  <dimension ref="A1:G2"/>
  <sheetViews>
    <sheetView workbookViewId="0">
      <selection activeCell="E17" sqref="E17"/>
    </sheetView>
  </sheetViews>
  <sheetFormatPr defaultRowHeight="14.4" x14ac:dyDescent="0.3"/>
  <cols>
    <col min="1" max="1" width="11.33203125" customWidth="1"/>
    <col min="2" max="2" width="17.5546875" customWidth="1"/>
    <col min="3" max="3" width="18.44140625" customWidth="1"/>
    <col min="4" max="4" width="16.33203125" customWidth="1"/>
    <col min="5" max="5" width="24.77734375" customWidth="1"/>
    <col min="6" max="6" width="18.6640625" customWidth="1"/>
    <col min="7" max="7" width="24.109375" customWidth="1"/>
  </cols>
  <sheetData>
    <row r="1" spans="1:7" x14ac:dyDescent="0.3">
      <c r="A1" t="s">
        <v>5</v>
      </c>
      <c r="B1" t="s">
        <v>4</v>
      </c>
      <c r="C1" t="s">
        <v>0</v>
      </c>
      <c r="D1" t="s">
        <v>3</v>
      </c>
      <c r="E1" t="s">
        <v>1</v>
      </c>
      <c r="F1" t="s">
        <v>2</v>
      </c>
      <c r="G1" t="s">
        <v>46</v>
      </c>
    </row>
    <row r="2" spans="1:7" x14ac:dyDescent="0.3">
      <c r="A2">
        <f>ROW()-1</f>
        <v>1</v>
      </c>
      <c r="B2" s="1">
        <v>44445.713182870371</v>
      </c>
      <c r="C2" t="s">
        <v>102</v>
      </c>
      <c r="D2" t="s">
        <v>95</v>
      </c>
      <c r="G2" t="s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550BE-31C3-4078-8D91-7B37ED514F6D}">
  <sheetPr codeName="Sheet6"/>
  <dimension ref="A1:K49"/>
  <sheetViews>
    <sheetView showWhiteSpace="0" view="pageLayout" topLeftCell="A13" zoomScale="68" zoomScaleNormal="100" zoomScaleSheetLayoutView="14" zoomScalePageLayoutView="68" workbookViewId="0">
      <selection activeCell="E13" sqref="E13"/>
    </sheetView>
  </sheetViews>
  <sheetFormatPr defaultRowHeight="14.4" x14ac:dyDescent="0.3"/>
  <cols>
    <col min="1" max="1" width="4.77734375" customWidth="1"/>
    <col min="2" max="2" width="10.21875" customWidth="1"/>
    <col min="3" max="3" width="7.21875" customWidth="1"/>
    <col min="4" max="4" width="11.77734375" customWidth="1"/>
    <col min="5" max="5" width="7.5546875" customWidth="1"/>
    <col min="7" max="7" width="12.77734375" customWidth="1"/>
    <col min="8" max="8" width="1.6640625" customWidth="1"/>
    <col min="9" max="9" width="4.5546875" customWidth="1"/>
    <col min="10" max="10" width="19" customWidth="1"/>
    <col min="11" max="11" width="8.44140625" customWidth="1"/>
    <col min="12" max="12" width="15" customWidth="1"/>
  </cols>
  <sheetData>
    <row r="1" spans="1:11" x14ac:dyDescent="0.3">
      <c r="A1" s="65" t="s">
        <v>53</v>
      </c>
      <c r="B1" s="65"/>
      <c r="C1" s="65"/>
      <c r="E1" s="66" t="s">
        <v>54</v>
      </c>
      <c r="F1" s="66"/>
      <c r="G1" s="66"/>
      <c r="H1" s="66"/>
      <c r="J1" s="4" t="s">
        <v>55</v>
      </c>
      <c r="K1" s="5"/>
    </row>
    <row r="2" spans="1:11" x14ac:dyDescent="0.3">
      <c r="A2" s="6" t="s">
        <v>56</v>
      </c>
      <c r="B2" s="6"/>
      <c r="C2" s="67">
        <v>8894504570</v>
      </c>
      <c r="D2" s="67"/>
      <c r="E2" s="66"/>
      <c r="F2" s="66"/>
      <c r="G2" s="66"/>
      <c r="H2" s="66"/>
      <c r="J2" s="75" t="s">
        <v>57</v>
      </c>
      <c r="K2" s="75"/>
    </row>
    <row r="3" spans="1:11" x14ac:dyDescent="0.3">
      <c r="A3" s="67" t="s">
        <v>58</v>
      </c>
      <c r="B3" s="67"/>
      <c r="C3" s="67">
        <v>8628850691</v>
      </c>
      <c r="D3" s="67"/>
      <c r="I3" s="7"/>
      <c r="J3" s="69">
        <v>9816444020</v>
      </c>
      <c r="K3" s="69"/>
    </row>
    <row r="4" spans="1:11" ht="14.4" customHeight="1" x14ac:dyDescent="0.85">
      <c r="D4" s="8"/>
    </row>
    <row r="5" spans="1:11" ht="14.4" customHeight="1" x14ac:dyDescent="0.3">
      <c r="B5" s="76" t="s">
        <v>59</v>
      </c>
      <c r="C5" s="76"/>
      <c r="D5" s="43" t="s">
        <v>60</v>
      </c>
      <c r="E5" s="43"/>
      <c r="F5" s="43"/>
      <c r="G5" s="43"/>
      <c r="H5" s="43"/>
      <c r="I5" s="43"/>
      <c r="J5" s="43"/>
    </row>
    <row r="6" spans="1:11" ht="14.4" customHeight="1" x14ac:dyDescent="0.3">
      <c r="B6" s="76"/>
      <c r="C6" s="76"/>
      <c r="D6" s="43"/>
      <c r="E6" s="43"/>
      <c r="F6" s="43"/>
      <c r="G6" s="43"/>
      <c r="H6" s="43"/>
      <c r="I6" s="43"/>
      <c r="J6" s="43"/>
    </row>
    <row r="7" spans="1:11" x14ac:dyDescent="0.3">
      <c r="B7" s="76"/>
      <c r="C7" s="76"/>
      <c r="D7" s="64" t="s">
        <v>61</v>
      </c>
      <c r="E7" s="64"/>
      <c r="F7" s="64"/>
      <c r="G7" s="64"/>
      <c r="H7" s="64"/>
      <c r="I7" s="64"/>
    </row>
    <row r="8" spans="1:11" x14ac:dyDescent="0.3">
      <c r="B8" s="76"/>
      <c r="C8" s="76"/>
      <c r="D8" s="64" t="s">
        <v>62</v>
      </c>
      <c r="E8" s="64"/>
      <c r="F8" s="64"/>
      <c r="G8" s="64"/>
      <c r="H8" s="64"/>
      <c r="I8" s="64"/>
    </row>
    <row r="9" spans="1:11" x14ac:dyDescent="0.3">
      <c r="B9" s="76"/>
      <c r="C9" s="76"/>
      <c r="D9" s="9"/>
      <c r="E9" s="9"/>
      <c r="F9" s="9"/>
      <c r="G9" s="9"/>
      <c r="H9" s="9"/>
      <c r="I9" s="9"/>
    </row>
    <row r="11" spans="1:11" x14ac:dyDescent="0.3">
      <c r="C11" s="68" t="s">
        <v>63</v>
      </c>
      <c r="D11" s="69"/>
      <c r="E11" s="69"/>
      <c r="I11" s="3" t="s">
        <v>64</v>
      </c>
      <c r="J11" s="10"/>
    </row>
    <row r="12" spans="1:11" x14ac:dyDescent="0.3">
      <c r="C12" s="68"/>
      <c r="D12" s="69"/>
      <c r="E12" s="69"/>
      <c r="I12" s="11" t="s">
        <v>65</v>
      </c>
      <c r="J12" s="12"/>
    </row>
    <row r="13" spans="1:11" x14ac:dyDescent="0.3">
      <c r="C13" s="13"/>
      <c r="D13" s="3"/>
      <c r="E13" s="3"/>
      <c r="I13" s="3"/>
      <c r="J13" s="14"/>
    </row>
    <row r="15" spans="1:11" x14ac:dyDescent="0.3">
      <c r="A15" s="57" t="s">
        <v>49</v>
      </c>
      <c r="B15" s="71" t="s">
        <v>66</v>
      </c>
      <c r="C15" s="72"/>
      <c r="D15" s="72"/>
      <c r="E15" s="72"/>
      <c r="F15" s="72"/>
      <c r="G15" s="57" t="s">
        <v>67</v>
      </c>
      <c r="H15" s="5"/>
      <c r="I15" s="15"/>
      <c r="J15" s="57" t="s">
        <v>68</v>
      </c>
      <c r="K15" s="57" t="s">
        <v>69</v>
      </c>
    </row>
    <row r="16" spans="1:11" x14ac:dyDescent="0.3">
      <c r="A16" s="70"/>
      <c r="B16" s="73"/>
      <c r="C16" s="74"/>
      <c r="D16" s="74"/>
      <c r="E16" s="74"/>
      <c r="F16" s="74"/>
      <c r="G16" s="70"/>
      <c r="H16" s="5"/>
      <c r="I16" s="15"/>
      <c r="J16" s="58"/>
      <c r="K16" s="58"/>
    </row>
    <row r="17" spans="1:11" x14ac:dyDescent="0.3">
      <c r="A17" s="58"/>
      <c r="B17" s="16" t="s">
        <v>70</v>
      </c>
      <c r="C17" s="16" t="s">
        <v>71</v>
      </c>
      <c r="D17" s="16" t="s">
        <v>10</v>
      </c>
      <c r="E17" s="17" t="s">
        <v>72</v>
      </c>
      <c r="F17" s="17" t="s">
        <v>73</v>
      </c>
      <c r="G17" s="70"/>
      <c r="I17" s="18"/>
      <c r="J17" s="59" t="s">
        <v>74</v>
      </c>
      <c r="K17" s="61"/>
    </row>
    <row r="18" spans="1:11" x14ac:dyDescent="0.3">
      <c r="A18" s="19">
        <v>1</v>
      </c>
      <c r="B18" s="20"/>
      <c r="C18" s="26"/>
      <c r="D18" s="26"/>
      <c r="E18" s="26"/>
      <c r="F18" s="33"/>
      <c r="G18" s="26" t="str">
        <f>IF((E18*F18)&gt;0,(E18*F18)-0,"")</f>
        <v/>
      </c>
      <c r="I18" s="18"/>
      <c r="J18" s="60"/>
      <c r="K18" s="62"/>
    </row>
    <row r="19" spans="1:11" x14ac:dyDescent="0.3">
      <c r="A19" s="19">
        <v>2</v>
      </c>
      <c r="B19" s="20"/>
      <c r="C19" s="27"/>
      <c r="D19" s="27"/>
      <c r="E19" s="27"/>
      <c r="F19" s="20"/>
      <c r="G19" s="27" t="str">
        <f t="shared" ref="G19:G32" si="0">IF((E19*F19)&gt;0,(E19*F19)-0,"")</f>
        <v/>
      </c>
      <c r="I19" s="18"/>
      <c r="J19" s="60" t="s">
        <v>75</v>
      </c>
      <c r="K19" s="62"/>
    </row>
    <row r="20" spans="1:11" x14ac:dyDescent="0.3">
      <c r="A20" s="19">
        <v>3</v>
      </c>
      <c r="B20" s="20"/>
      <c r="C20" s="27"/>
      <c r="D20" s="27"/>
      <c r="E20" s="27"/>
      <c r="F20" s="20"/>
      <c r="G20" s="27" t="str">
        <f t="shared" si="0"/>
        <v/>
      </c>
      <c r="I20" s="18"/>
      <c r="J20" s="60"/>
      <c r="K20" s="62"/>
    </row>
    <row r="21" spans="1:11" x14ac:dyDescent="0.3">
      <c r="A21" s="19">
        <v>4</v>
      </c>
      <c r="B21" s="20"/>
      <c r="C21" s="27"/>
      <c r="D21" s="27"/>
      <c r="E21" s="27"/>
      <c r="F21" s="20"/>
      <c r="G21" s="27" t="str">
        <f t="shared" si="0"/>
        <v/>
      </c>
      <c r="I21" s="18"/>
      <c r="J21" s="60" t="s">
        <v>76</v>
      </c>
      <c r="K21" s="62"/>
    </row>
    <row r="22" spans="1:11" x14ac:dyDescent="0.3">
      <c r="A22" s="19">
        <v>5</v>
      </c>
      <c r="B22" s="20"/>
      <c r="C22" s="27"/>
      <c r="D22" s="27"/>
      <c r="E22" s="27"/>
      <c r="F22" s="20"/>
      <c r="G22" s="27" t="str">
        <f t="shared" si="0"/>
        <v/>
      </c>
      <c r="I22" s="18"/>
      <c r="J22" s="60"/>
      <c r="K22" s="62"/>
    </row>
    <row r="23" spans="1:11" x14ac:dyDescent="0.3">
      <c r="A23" s="19">
        <v>6</v>
      </c>
      <c r="B23" s="20"/>
      <c r="C23" s="27"/>
      <c r="D23" s="27"/>
      <c r="E23" s="27"/>
      <c r="F23" s="20"/>
      <c r="G23" s="27" t="str">
        <f t="shared" si="0"/>
        <v/>
      </c>
      <c r="I23" s="18"/>
      <c r="J23" s="60" t="s">
        <v>77</v>
      </c>
      <c r="K23" s="62"/>
    </row>
    <row r="24" spans="1:11" ht="14.4" customHeight="1" x14ac:dyDescent="0.3">
      <c r="A24" s="19">
        <v>7</v>
      </c>
      <c r="B24" s="20"/>
      <c r="C24" s="27"/>
      <c r="D24" s="27"/>
      <c r="E24" s="27"/>
      <c r="F24" s="20"/>
      <c r="G24" s="27" t="str">
        <f t="shared" si="0"/>
        <v/>
      </c>
      <c r="I24" s="7"/>
      <c r="J24" s="60"/>
      <c r="K24" s="62"/>
    </row>
    <row r="25" spans="1:11" x14ac:dyDescent="0.3">
      <c r="A25" s="19">
        <v>8</v>
      </c>
      <c r="B25" s="20"/>
      <c r="C25" s="27"/>
      <c r="D25" s="27"/>
      <c r="E25" s="27"/>
      <c r="F25" s="20"/>
      <c r="G25" s="27" t="str">
        <f t="shared" si="0"/>
        <v/>
      </c>
      <c r="I25" s="7"/>
      <c r="J25" s="77" t="s">
        <v>12</v>
      </c>
      <c r="K25" s="62"/>
    </row>
    <row r="26" spans="1:11" x14ac:dyDescent="0.3">
      <c r="A26" s="19">
        <v>9</v>
      </c>
      <c r="B26" s="20"/>
      <c r="C26" s="27"/>
      <c r="D26" s="27"/>
      <c r="E26" s="27"/>
      <c r="F26" s="20"/>
      <c r="G26" s="27" t="str">
        <f t="shared" si="0"/>
        <v/>
      </c>
      <c r="I26" s="7"/>
      <c r="J26" s="77"/>
      <c r="K26" s="62"/>
    </row>
    <row r="27" spans="1:11" x14ac:dyDescent="0.3">
      <c r="A27" s="19">
        <v>10</v>
      </c>
      <c r="C27" s="32"/>
      <c r="D27" s="32"/>
      <c r="E27" s="32"/>
      <c r="F27" s="35"/>
      <c r="G27" s="27" t="str">
        <f t="shared" si="0"/>
        <v/>
      </c>
      <c r="J27" s="60" t="s">
        <v>78</v>
      </c>
      <c r="K27" s="62"/>
    </row>
    <row r="28" spans="1:11" x14ac:dyDescent="0.3">
      <c r="A28" s="19">
        <v>11</v>
      </c>
      <c r="C28" s="32"/>
      <c r="D28" s="32"/>
      <c r="E28" s="32"/>
      <c r="F28" s="35"/>
      <c r="G28" s="27" t="str">
        <f t="shared" si="0"/>
        <v/>
      </c>
      <c r="J28" s="60"/>
      <c r="K28" s="62"/>
    </row>
    <row r="29" spans="1:11" ht="14.4" customHeight="1" x14ac:dyDescent="0.3">
      <c r="A29" s="19">
        <v>12</v>
      </c>
      <c r="C29" s="32"/>
      <c r="D29" s="32"/>
      <c r="E29" s="32"/>
      <c r="F29" s="35"/>
      <c r="G29" s="27" t="str">
        <f t="shared" si="0"/>
        <v/>
      </c>
      <c r="J29" s="78" t="s">
        <v>80</v>
      </c>
      <c r="K29" s="80">
        <f>SUM(K17:K28)</f>
        <v>0</v>
      </c>
    </row>
    <row r="30" spans="1:11" ht="14.4" customHeight="1" x14ac:dyDescent="0.3">
      <c r="A30" s="19">
        <v>13</v>
      </c>
      <c r="C30" s="32"/>
      <c r="D30" s="32"/>
      <c r="E30" s="32"/>
      <c r="F30" s="35"/>
      <c r="G30" s="27" t="str">
        <f t="shared" si="0"/>
        <v/>
      </c>
      <c r="J30" s="79"/>
      <c r="K30" s="81"/>
    </row>
    <row r="31" spans="1:11" ht="14.4" customHeight="1" x14ac:dyDescent="0.3">
      <c r="A31" s="19">
        <v>14</v>
      </c>
      <c r="C31" s="32"/>
      <c r="D31" s="32"/>
      <c r="E31" s="32"/>
      <c r="F31" s="35"/>
      <c r="G31" s="27" t="str">
        <f t="shared" si="0"/>
        <v/>
      </c>
      <c r="J31" s="82" t="s">
        <v>82</v>
      </c>
      <c r="K31" s="83"/>
    </row>
    <row r="32" spans="1:11" ht="14.4" customHeight="1" x14ac:dyDescent="0.3">
      <c r="A32" s="19">
        <v>15</v>
      </c>
      <c r="B32" s="20"/>
      <c r="C32" s="21"/>
      <c r="D32" s="21"/>
      <c r="E32" s="21"/>
      <c r="F32" s="34"/>
      <c r="G32" s="21" t="str">
        <f t="shared" si="0"/>
        <v/>
      </c>
      <c r="J32" s="84"/>
      <c r="K32" s="85"/>
    </row>
    <row r="33" spans="1:11" ht="14.4" customHeight="1" x14ac:dyDescent="0.3">
      <c r="A33" s="88" t="s">
        <v>79</v>
      </c>
      <c r="B33" s="89"/>
      <c r="C33" s="90"/>
      <c r="D33" s="91"/>
      <c r="E33" s="80">
        <f>SUM(E18:E32)</f>
        <v>0</v>
      </c>
      <c r="F33" s="22"/>
      <c r="G33" s="95">
        <f>SUM(G18:G32)</f>
        <v>0</v>
      </c>
      <c r="J33" s="84"/>
      <c r="K33" s="85"/>
    </row>
    <row r="34" spans="1:11" ht="23.4" customHeight="1" x14ac:dyDescent="0.3">
      <c r="A34" s="92"/>
      <c r="B34" s="93"/>
      <c r="C34" s="93"/>
      <c r="D34" s="94"/>
      <c r="E34" s="81"/>
      <c r="F34" s="23"/>
      <c r="G34" s="81"/>
      <c r="J34" s="86"/>
      <c r="K34" s="87"/>
    </row>
    <row r="35" spans="1:11" x14ac:dyDescent="0.3">
      <c r="A35" s="88" t="s">
        <v>81</v>
      </c>
      <c r="B35" s="89"/>
      <c r="C35" s="89"/>
      <c r="D35" s="89"/>
      <c r="E35" s="89"/>
      <c r="F35" s="96"/>
      <c r="G35" s="80">
        <f>K29</f>
        <v>0</v>
      </c>
    </row>
    <row r="36" spans="1:11" ht="14.4" customHeight="1" x14ac:dyDescent="0.3">
      <c r="A36" s="92"/>
      <c r="B36" s="93"/>
      <c r="C36" s="93"/>
      <c r="D36" s="93"/>
      <c r="E36" s="93"/>
      <c r="F36" s="94"/>
      <c r="G36" s="81"/>
    </row>
    <row r="37" spans="1:11" x14ac:dyDescent="0.3">
      <c r="A37" s="44" t="s">
        <v>83</v>
      </c>
      <c r="B37" s="45"/>
      <c r="C37" s="50"/>
      <c r="D37" s="50"/>
      <c r="E37" s="50"/>
      <c r="F37" s="50"/>
      <c r="G37" s="53">
        <f>G33-G35</f>
        <v>0</v>
      </c>
    </row>
    <row r="38" spans="1:11" x14ac:dyDescent="0.3">
      <c r="A38" s="46"/>
      <c r="B38" s="47"/>
      <c r="C38" s="51"/>
      <c r="D38" s="51"/>
      <c r="E38" s="51"/>
      <c r="F38" s="51"/>
      <c r="G38" s="54"/>
    </row>
    <row r="39" spans="1:11" x14ac:dyDescent="0.3">
      <c r="A39" s="48"/>
      <c r="B39" s="49"/>
      <c r="C39" s="52"/>
      <c r="D39" s="52"/>
      <c r="E39" s="52"/>
      <c r="F39" s="52"/>
      <c r="G39" s="55"/>
    </row>
    <row r="40" spans="1:11" x14ac:dyDescent="0.3">
      <c r="A40" s="56" t="str">
        <f>SpellNumberEDP2(G37,"INR")</f>
        <v>No Rupees and No Paisas</v>
      </c>
      <c r="B40" s="56"/>
      <c r="C40" s="56"/>
      <c r="D40" s="56"/>
      <c r="E40" s="56"/>
      <c r="F40" s="56"/>
      <c r="G40" s="56"/>
      <c r="I40" s="18"/>
      <c r="J40" s="9"/>
    </row>
    <row r="41" spans="1:11" x14ac:dyDescent="0.3">
      <c r="I41" s="7"/>
      <c r="J41" s="42" t="s">
        <v>107</v>
      </c>
      <c r="K41" s="42"/>
    </row>
    <row r="42" spans="1:11" ht="21" x14ac:dyDescent="0.3">
      <c r="A42" s="28" t="s">
        <v>84</v>
      </c>
      <c r="B42" s="63">
        <f>G37</f>
        <v>0</v>
      </c>
      <c r="C42" s="63"/>
      <c r="D42" s="64" t="s">
        <v>85</v>
      </c>
      <c r="E42" s="64"/>
      <c r="F42" s="64"/>
      <c r="I42" s="7"/>
    </row>
    <row r="43" spans="1:11" x14ac:dyDescent="0.3">
      <c r="A43" s="25" t="s">
        <v>86</v>
      </c>
      <c r="B43" s="25"/>
      <c r="C43" s="25"/>
      <c r="D43" s="25"/>
      <c r="E43" s="25"/>
      <c r="F43" s="25"/>
      <c r="J43" s="2"/>
    </row>
    <row r="44" spans="1:11" x14ac:dyDescent="0.3">
      <c r="A44" s="28" t="s">
        <v>87</v>
      </c>
      <c r="B44" s="28"/>
      <c r="C44" s="28"/>
      <c r="D44" s="28"/>
      <c r="E44" s="28"/>
      <c r="F44" s="28"/>
      <c r="J44" s="24"/>
      <c r="K44" s="24"/>
    </row>
    <row r="45" spans="1:11" x14ac:dyDescent="0.3">
      <c r="J45" s="2" t="s">
        <v>88</v>
      </c>
    </row>
    <row r="49" ht="39" customHeight="1" x14ac:dyDescent="0.3"/>
  </sheetData>
  <mergeCells count="46">
    <mergeCell ref="J31:K34"/>
    <mergeCell ref="A33:D34"/>
    <mergeCell ref="E33:E34"/>
    <mergeCell ref="G33:G34"/>
    <mergeCell ref="A35:F36"/>
    <mergeCell ref="G35:G36"/>
    <mergeCell ref="J25:J26"/>
    <mergeCell ref="K25:K26"/>
    <mergeCell ref="J27:J28"/>
    <mergeCell ref="K27:K28"/>
    <mergeCell ref="J29:J30"/>
    <mergeCell ref="K29:K30"/>
    <mergeCell ref="J2:K2"/>
    <mergeCell ref="A3:B3"/>
    <mergeCell ref="C3:D3"/>
    <mergeCell ref="J3:K3"/>
    <mergeCell ref="B5:C9"/>
    <mergeCell ref="D7:I7"/>
    <mergeCell ref="D8:I8"/>
    <mergeCell ref="B42:C42"/>
    <mergeCell ref="D42:F42"/>
    <mergeCell ref="A1:C1"/>
    <mergeCell ref="E1:H2"/>
    <mergeCell ref="C2:D2"/>
    <mergeCell ref="C11:C12"/>
    <mergeCell ref="D11:E11"/>
    <mergeCell ref="D12:E12"/>
    <mergeCell ref="A15:A17"/>
    <mergeCell ref="B15:F16"/>
    <mergeCell ref="G15:G17"/>
    <mergeCell ref="J41:K41"/>
    <mergeCell ref="D5:J6"/>
    <mergeCell ref="A37:B39"/>
    <mergeCell ref="C37:F39"/>
    <mergeCell ref="G37:G39"/>
    <mergeCell ref="A40:G40"/>
    <mergeCell ref="J15:J16"/>
    <mergeCell ref="K15:K16"/>
    <mergeCell ref="J17:J18"/>
    <mergeCell ref="K17:K18"/>
    <mergeCell ref="J19:J20"/>
    <mergeCell ref="K19:K20"/>
    <mergeCell ref="J21:J22"/>
    <mergeCell ref="K21:K22"/>
    <mergeCell ref="J23:J24"/>
    <mergeCell ref="K23:K24"/>
  </mergeCells>
  <pageMargins left="0.46568627450980393" right="0.13440860215053763" top="0.48048048048048048" bottom="0.45893719806763283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C5190-4E71-47B7-AED3-BBBD29774297}">
  <sheetPr codeName="Sheet12"/>
  <dimension ref="A1:G6"/>
  <sheetViews>
    <sheetView workbookViewId="0">
      <selection activeCell="D17" sqref="D17"/>
    </sheetView>
  </sheetViews>
  <sheetFormatPr defaultRowHeight="14.4" x14ac:dyDescent="0.3"/>
  <cols>
    <col min="1" max="1" width="12.88671875" customWidth="1"/>
    <col min="2" max="2" width="14" customWidth="1"/>
    <col min="3" max="3" width="14.5546875" customWidth="1"/>
    <col min="4" max="4" width="13" customWidth="1"/>
    <col min="5" max="5" width="14.33203125" customWidth="1"/>
    <col min="6" max="6" width="15.88671875" customWidth="1"/>
    <col min="7" max="7" width="13.44140625" customWidth="1"/>
  </cols>
  <sheetData>
    <row r="1" spans="1:7" x14ac:dyDescent="0.3">
      <c r="A1" s="25" t="s">
        <v>92</v>
      </c>
      <c r="B1" s="25" t="s">
        <v>50</v>
      </c>
      <c r="C1" s="41" t="s">
        <v>9</v>
      </c>
      <c r="D1" s="29"/>
      <c r="E1" s="29"/>
      <c r="F1" s="25"/>
      <c r="G1" s="25"/>
    </row>
    <row r="2" spans="1:7" x14ac:dyDescent="0.3">
      <c r="B2" s="40"/>
    </row>
    <row r="6" spans="1:7" x14ac:dyDescent="0.3">
      <c r="D6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2:N27"/>
  <sheetViews>
    <sheetView tabSelected="1" workbookViewId="0">
      <selection activeCell="I9" sqref="I9"/>
    </sheetView>
  </sheetViews>
  <sheetFormatPr defaultRowHeight="14.4" x14ac:dyDescent="0.3"/>
  <sheetData>
    <row r="12" spans="2:14" x14ac:dyDescent="0.3"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</row>
    <row r="13" spans="2:14" x14ac:dyDescent="0.3">
      <c r="B13" s="3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2:14" x14ac:dyDescent="0.3">
      <c r="B14" s="36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2:14" x14ac:dyDescent="0.3">
      <c r="B15" s="36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2:14" ht="18" customHeight="1" x14ac:dyDescent="0.3">
      <c r="B16" s="36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14" ht="18" customHeight="1" x14ac:dyDescent="0.3">
      <c r="B17" s="36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2:14" ht="18" customHeight="1" x14ac:dyDescent="0.3">
      <c r="B18" s="36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2:14" ht="25.8" customHeight="1" x14ac:dyDescent="0.3">
      <c r="B19" s="36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2:14" ht="18" customHeight="1" x14ac:dyDescent="0.3">
      <c r="B20" s="36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2:14" ht="18" customHeight="1" x14ac:dyDescent="0.3">
      <c r="B21" s="36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</row>
    <row r="22" spans="2:14" ht="18" customHeight="1" x14ac:dyDescent="0.3">
      <c r="B22" s="36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</row>
    <row r="23" spans="2:14" x14ac:dyDescent="0.3">
      <c r="B23" s="36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</row>
    <row r="24" spans="2:14" x14ac:dyDescent="0.3">
      <c r="B24" s="36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</row>
    <row r="25" spans="2:14" ht="21" x14ac:dyDescent="0.3">
      <c r="B25" s="36"/>
      <c r="C25" s="38"/>
      <c r="D25" s="97"/>
      <c r="E25" s="97"/>
      <c r="F25" s="98"/>
      <c r="G25" s="98"/>
      <c r="H25" s="98"/>
      <c r="I25" s="36"/>
      <c r="J25" s="36"/>
      <c r="K25" s="37"/>
      <c r="L25" s="36"/>
      <c r="M25" s="36"/>
    </row>
    <row r="26" spans="2:14" x14ac:dyDescent="0.3">
      <c r="C26" s="25"/>
      <c r="D26" s="25"/>
      <c r="E26" s="25"/>
      <c r="F26" s="25"/>
      <c r="G26" s="25"/>
      <c r="H26" s="25"/>
      <c r="K26" s="18"/>
    </row>
    <row r="27" spans="2:14" x14ac:dyDescent="0.3">
      <c r="C27" s="28"/>
      <c r="D27" s="28"/>
      <c r="E27" s="28"/>
      <c r="F27" s="28"/>
      <c r="G27" s="28"/>
      <c r="H27" s="28"/>
      <c r="K27" s="18"/>
      <c r="L27" s="64"/>
      <c r="M27" s="64"/>
    </row>
  </sheetData>
  <mergeCells count="3">
    <mergeCell ref="L27:M27"/>
    <mergeCell ref="D25:E25"/>
    <mergeCell ref="F25:H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3A79A-F693-4704-91C9-A9A403507B44}">
  <sheetPr codeName="Sheet9"/>
  <dimension ref="A1:K5"/>
  <sheetViews>
    <sheetView workbookViewId="0"/>
  </sheetViews>
  <sheetFormatPr defaultRowHeight="14.4" x14ac:dyDescent="0.3"/>
  <cols>
    <col min="4" max="4" width="12.77734375" customWidth="1"/>
    <col min="6" max="6" width="15" customWidth="1"/>
    <col min="11" max="11" width="15.33203125" customWidth="1"/>
  </cols>
  <sheetData>
    <row r="1" spans="1:11" x14ac:dyDescent="0.3">
      <c r="A1" t="s">
        <v>49</v>
      </c>
      <c r="B1" t="s">
        <v>50</v>
      </c>
      <c r="C1" t="s">
        <v>97</v>
      </c>
      <c r="D1" t="s">
        <v>98</v>
      </c>
      <c r="E1" t="s">
        <v>99</v>
      </c>
      <c r="F1" t="s">
        <v>100</v>
      </c>
      <c r="G1" t="s">
        <v>102</v>
      </c>
      <c r="H1" t="s">
        <v>95</v>
      </c>
      <c r="J1" t="s">
        <v>104</v>
      </c>
      <c r="K1" t="s">
        <v>93</v>
      </c>
    </row>
    <row r="2" spans="1:11" x14ac:dyDescent="0.3">
      <c r="F2">
        <f>IF(ISNUMBER(F1),((F1+D2)-E2),(0))</f>
        <v>0</v>
      </c>
      <c r="J2">
        <v>1</v>
      </c>
    </row>
    <row r="3" spans="1:11" x14ac:dyDescent="0.3">
      <c r="A3">
        <f>ROW()-2</f>
        <v>1</v>
      </c>
      <c r="B3" s="1">
        <v>44445.714305555557</v>
      </c>
      <c r="C3">
        <v>12345</v>
      </c>
      <c r="D3">
        <v>67200</v>
      </c>
      <c r="F3">
        <f t="shared" ref="F3:F5" si="0">IF(ISNUMBER(F2),((F2+D3)-E3),(0))</f>
        <v>67200</v>
      </c>
      <c r="K3">
        <v>1</v>
      </c>
    </row>
    <row r="4" spans="1:11" x14ac:dyDescent="0.3">
      <c r="A4">
        <f>ROW()-2</f>
        <v>2</v>
      </c>
      <c r="B4" s="1">
        <v>44445.714930555558</v>
      </c>
      <c r="C4">
        <v>12346</v>
      </c>
      <c r="D4">
        <v>33800</v>
      </c>
      <c r="F4">
        <f t="shared" si="0"/>
        <v>101000</v>
      </c>
      <c r="K4">
        <v>2</v>
      </c>
    </row>
    <row r="5" spans="1:11" x14ac:dyDescent="0.3">
      <c r="A5">
        <f>ROW()-2</f>
        <v>3</v>
      </c>
      <c r="B5" s="1">
        <v>44462.862754629627</v>
      </c>
      <c r="C5">
        <v>156</v>
      </c>
      <c r="D5">
        <v>32500</v>
      </c>
      <c r="F5">
        <f t="shared" si="0"/>
        <v>133500</v>
      </c>
      <c r="K5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46B9B-8026-4B9A-8DBF-CB93FF05AB76}">
  <sheetPr codeName="Sheet8"/>
  <dimension ref="A1:L6"/>
  <sheetViews>
    <sheetView workbookViewId="0"/>
  </sheetViews>
  <sheetFormatPr defaultRowHeight="14.4" x14ac:dyDescent="0.3"/>
  <cols>
    <col min="10" max="10" width="14.5546875" customWidth="1"/>
    <col min="11" max="11" width="17" customWidth="1"/>
  </cols>
  <sheetData>
    <row r="1" spans="1:12" x14ac:dyDescent="0.3">
      <c r="A1" t="s">
        <v>49</v>
      </c>
      <c r="B1" t="s">
        <v>50</v>
      </c>
      <c r="C1" t="s">
        <v>97</v>
      </c>
      <c r="D1" t="s">
        <v>98</v>
      </c>
      <c r="E1" t="s">
        <v>99</v>
      </c>
      <c r="F1" t="s">
        <v>100</v>
      </c>
      <c r="G1" t="s">
        <v>94</v>
      </c>
      <c r="H1" t="s">
        <v>95</v>
      </c>
      <c r="J1" t="s">
        <v>101</v>
      </c>
      <c r="K1" t="s">
        <v>93</v>
      </c>
    </row>
    <row r="2" spans="1:12" x14ac:dyDescent="0.3">
      <c r="F2">
        <f>IF(ISNUMBER(F1),((F1+E2)-D2),(0))</f>
        <v>0</v>
      </c>
      <c r="J2">
        <v>1</v>
      </c>
    </row>
    <row r="3" spans="1:12" x14ac:dyDescent="0.3">
      <c r="A3">
        <f>ROW()-2</f>
        <v>1</v>
      </c>
      <c r="B3" s="1">
        <v>44445.714305555557</v>
      </c>
      <c r="C3">
        <v>12345</v>
      </c>
      <c r="E3">
        <v>61200</v>
      </c>
      <c r="F3">
        <f t="shared" ref="F3:F6" si="0">IF(ISNUMBER(F2),((F2+E3)-D3),(0))</f>
        <v>61200</v>
      </c>
      <c r="K3">
        <v>1</v>
      </c>
      <c r="L3" t="s">
        <v>105</v>
      </c>
    </row>
    <row r="4" spans="1:12" x14ac:dyDescent="0.3">
      <c r="A4">
        <f>ROW()-2</f>
        <v>2</v>
      </c>
      <c r="B4" s="1">
        <v>44445.714930555558</v>
      </c>
      <c r="C4">
        <v>12346</v>
      </c>
      <c r="E4">
        <v>33800</v>
      </c>
      <c r="F4">
        <f t="shared" si="0"/>
        <v>95000</v>
      </c>
      <c r="K4">
        <v>2</v>
      </c>
      <c r="L4" t="s">
        <v>105</v>
      </c>
    </row>
    <row r="5" spans="1:12" x14ac:dyDescent="0.3">
      <c r="A5">
        <f>ROW()-2</f>
        <v>3</v>
      </c>
      <c r="B5" s="40">
        <f ca="1">TODAY()</f>
        <v>44462</v>
      </c>
      <c r="C5" t="s">
        <v>106</v>
      </c>
      <c r="D5">
        <v>5000</v>
      </c>
      <c r="F5">
        <f t="shared" si="0"/>
        <v>90000</v>
      </c>
    </row>
    <row r="6" spans="1:12" x14ac:dyDescent="0.3">
      <c r="A6">
        <f>ROW()-2</f>
        <v>4</v>
      </c>
      <c r="B6" s="1">
        <v>44462.862754629627</v>
      </c>
      <c r="C6">
        <v>156</v>
      </c>
      <c r="E6">
        <v>32500</v>
      </c>
      <c r="F6">
        <f t="shared" si="0"/>
        <v>122500</v>
      </c>
      <c r="K6">
        <v>3</v>
      </c>
      <c r="L6" t="s">
        <v>105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1281-6B02-4E8A-9D70-FC57F8A68642}">
  <sheetPr codeName="Sheet10"/>
  <dimension ref="A1:B1"/>
  <sheetViews>
    <sheetView workbookViewId="0">
      <selection activeCell="E31" sqref="E31"/>
    </sheetView>
  </sheetViews>
  <sheetFormatPr defaultRowHeight="14.4" x14ac:dyDescent="0.3"/>
  <cols>
    <col min="1" max="1" width="9.5546875" bestFit="1" customWidth="1"/>
    <col min="2" max="2" width="16.88671875" bestFit="1" customWidth="1"/>
    <col min="3" max="3" width="20.5546875" customWidth="1"/>
  </cols>
  <sheetData>
    <row r="1" spans="1:2" x14ac:dyDescent="0.3">
      <c r="A1" t="s">
        <v>108</v>
      </c>
      <c r="B1" t="s">
        <v>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F7FBF-B972-4077-BEEF-C173071E86E8}">
  <sheetPr codeName="Sheet2"/>
  <dimension ref="A1:G2"/>
  <sheetViews>
    <sheetView workbookViewId="0">
      <selection activeCell="E13" sqref="E13"/>
    </sheetView>
  </sheetViews>
  <sheetFormatPr defaultRowHeight="14.4" x14ac:dyDescent="0.3"/>
  <cols>
    <col min="1" max="1" width="14.5546875" customWidth="1"/>
    <col min="2" max="2" width="21.6640625" customWidth="1"/>
    <col min="3" max="3" width="14.88671875" customWidth="1"/>
    <col min="4" max="4" width="19.77734375" customWidth="1"/>
    <col min="5" max="5" width="22.77734375" customWidth="1"/>
    <col min="6" max="6" width="12.109375" customWidth="1"/>
    <col min="7" max="7" width="23" customWidth="1"/>
    <col min="8" max="8" width="20.109375" customWidth="1"/>
  </cols>
  <sheetData>
    <row r="1" spans="1:7" x14ac:dyDescent="0.3">
      <c r="A1" t="s">
        <v>5</v>
      </c>
      <c r="B1" t="s">
        <v>4</v>
      </c>
      <c r="C1" t="s">
        <v>0</v>
      </c>
      <c r="D1" t="s">
        <v>3</v>
      </c>
      <c r="E1" t="s">
        <v>1</v>
      </c>
      <c r="F1" t="s">
        <v>2</v>
      </c>
      <c r="G1" t="s">
        <v>46</v>
      </c>
    </row>
    <row r="2" spans="1:7" x14ac:dyDescent="0.3">
      <c r="A2">
        <f>ROW()-1</f>
        <v>1</v>
      </c>
      <c r="B2" s="1">
        <v>44445.712453703702</v>
      </c>
      <c r="C2" t="s">
        <v>94</v>
      </c>
      <c r="D2" t="s">
        <v>95</v>
      </c>
      <c r="G2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E7DB-C8B9-45D9-80AC-DAAF53471326}">
  <sheetPr codeName="Sheet4"/>
  <dimension ref="A1:AH12"/>
  <sheetViews>
    <sheetView topLeftCell="R1" workbookViewId="0">
      <selection activeCell="AD16" sqref="AD16"/>
    </sheetView>
  </sheetViews>
  <sheetFormatPr defaultRowHeight="14.4" x14ac:dyDescent="0.3"/>
  <cols>
    <col min="1" max="1" width="14.6640625" customWidth="1"/>
    <col min="2" max="2" width="16.77734375" customWidth="1"/>
    <col min="3" max="3" width="11.33203125" customWidth="1"/>
    <col min="4" max="4" width="19.21875" customWidth="1"/>
    <col min="5" max="5" width="20.109375" customWidth="1"/>
    <col min="6" max="6" width="10.44140625" customWidth="1"/>
    <col min="7" max="7" width="14.44140625" customWidth="1"/>
    <col min="8" max="8" width="12.109375" style="2" customWidth="1"/>
    <col min="9" max="9" width="18.109375" customWidth="1"/>
    <col min="10" max="10" width="11.44140625" customWidth="1"/>
    <col min="11" max="11" width="15.21875" customWidth="1"/>
    <col min="14" max="14" width="16.21875" customWidth="1"/>
    <col min="15" max="15" width="11.88671875" customWidth="1"/>
    <col min="16" max="16" width="14" customWidth="1"/>
    <col min="17" max="17" width="19" customWidth="1"/>
    <col min="18" max="18" width="17.77734375" customWidth="1"/>
    <col min="20" max="20" width="10" customWidth="1"/>
    <col min="28" max="28" width="13.33203125" customWidth="1"/>
    <col min="30" max="30" width="9.77734375" customWidth="1"/>
    <col min="31" max="31" width="23.21875" customWidth="1"/>
    <col min="32" max="32" width="13.88671875" customWidth="1"/>
    <col min="33" max="33" width="11.5546875" bestFit="1" customWidth="1"/>
  </cols>
  <sheetData>
    <row r="1" spans="1:34" s="3" customFormat="1" x14ac:dyDescent="0.3">
      <c r="A1" s="3" t="s">
        <v>6</v>
      </c>
      <c r="B1" s="3" t="s">
        <v>47</v>
      </c>
      <c r="C1" s="3" t="s">
        <v>7</v>
      </c>
      <c r="D1" s="3" t="s">
        <v>44</v>
      </c>
      <c r="E1" s="3" t="s">
        <v>45</v>
      </c>
      <c r="F1" s="3" t="s">
        <v>10</v>
      </c>
      <c r="G1" s="3" t="s">
        <v>11</v>
      </c>
      <c r="H1" s="3" t="s">
        <v>43</v>
      </c>
      <c r="I1" s="3" t="s">
        <v>8</v>
      </c>
      <c r="J1" s="3" t="s">
        <v>9</v>
      </c>
      <c r="K1" s="3" t="s">
        <v>17</v>
      </c>
      <c r="L1" s="3" t="s">
        <v>12</v>
      </c>
      <c r="M1" s="3" t="s">
        <v>42</v>
      </c>
      <c r="N1" s="3" t="s">
        <v>13</v>
      </c>
      <c r="O1" s="3" t="s">
        <v>14</v>
      </c>
      <c r="P1" s="3" t="s">
        <v>18</v>
      </c>
      <c r="Q1" s="3" t="s">
        <v>15</v>
      </c>
      <c r="R1" s="3" t="s">
        <v>16</v>
      </c>
      <c r="S1" s="3" t="s">
        <v>31</v>
      </c>
      <c r="T1" s="3" t="s">
        <v>36</v>
      </c>
      <c r="U1" s="3" t="s">
        <v>32</v>
      </c>
      <c r="V1" s="3" t="s">
        <v>37</v>
      </c>
      <c r="W1" s="3" t="s">
        <v>33</v>
      </c>
      <c r="X1" s="3" t="s">
        <v>38</v>
      </c>
      <c r="Y1" s="3" t="s">
        <v>34</v>
      </c>
      <c r="Z1" s="3" t="s">
        <v>39</v>
      </c>
      <c r="AA1" s="3" t="s">
        <v>35</v>
      </c>
      <c r="AB1" s="3" t="s">
        <v>40</v>
      </c>
      <c r="AC1" s="3" t="s">
        <v>30</v>
      </c>
      <c r="AD1" s="3" t="s">
        <v>41</v>
      </c>
      <c r="AE1" s="3" t="s">
        <v>48</v>
      </c>
      <c r="AF1" s="3" t="s">
        <v>51</v>
      </c>
      <c r="AG1" s="3" t="s">
        <v>52</v>
      </c>
      <c r="AH1" s="3" t="s">
        <v>71</v>
      </c>
    </row>
    <row r="2" spans="1:34" x14ac:dyDescent="0.3">
      <c r="A2">
        <f>ROW()-1</f>
        <v>1</v>
      </c>
      <c r="B2" s="1">
        <v>44445.714305555557</v>
      </c>
      <c r="C2">
        <v>12345</v>
      </c>
      <c r="D2" t="s">
        <v>96</v>
      </c>
      <c r="E2" t="s">
        <v>103</v>
      </c>
      <c r="F2" t="s">
        <v>19</v>
      </c>
      <c r="G2">
        <v>62</v>
      </c>
      <c r="H2" s="2">
        <v>67200</v>
      </c>
      <c r="I2" t="s">
        <v>94</v>
      </c>
      <c r="J2" t="s">
        <v>95</v>
      </c>
      <c r="K2">
        <v>1</v>
      </c>
      <c r="L2">
        <v>4000</v>
      </c>
      <c r="M2">
        <v>2000</v>
      </c>
      <c r="N2" t="s">
        <v>102</v>
      </c>
      <c r="O2" t="s">
        <v>95</v>
      </c>
      <c r="P2">
        <v>1</v>
      </c>
      <c r="S2">
        <v>50</v>
      </c>
      <c r="T2">
        <v>1200</v>
      </c>
      <c r="W2">
        <v>12</v>
      </c>
      <c r="X2">
        <v>600</v>
      </c>
      <c r="AE2" s="1">
        <v>44445.714317129627</v>
      </c>
      <c r="AF2">
        <v>1</v>
      </c>
      <c r="AG2">
        <v>1</v>
      </c>
      <c r="AH2">
        <v>2</v>
      </c>
    </row>
    <row r="3" spans="1:34" x14ac:dyDescent="0.3">
      <c r="A3">
        <f>ROW()-1</f>
        <v>2</v>
      </c>
      <c r="B3" s="1">
        <v>44445.714930555558</v>
      </c>
      <c r="C3">
        <v>12346</v>
      </c>
      <c r="D3" t="s">
        <v>96</v>
      </c>
      <c r="E3" t="s">
        <v>103</v>
      </c>
      <c r="F3" t="s">
        <v>19</v>
      </c>
      <c r="G3">
        <v>26</v>
      </c>
      <c r="H3" s="2">
        <v>33800</v>
      </c>
      <c r="I3" t="s">
        <v>94</v>
      </c>
      <c r="J3" t="s">
        <v>95</v>
      </c>
      <c r="K3">
        <v>1</v>
      </c>
      <c r="N3" t="s">
        <v>102</v>
      </c>
      <c r="O3" t="s">
        <v>95</v>
      </c>
      <c r="P3">
        <v>1</v>
      </c>
      <c r="S3">
        <v>23</v>
      </c>
      <c r="T3">
        <v>1300</v>
      </c>
      <c r="Y3">
        <v>3</v>
      </c>
      <c r="Z3">
        <v>1300</v>
      </c>
      <c r="AE3" s="1">
        <v>44445.714942129627</v>
      </c>
      <c r="AF3">
        <v>2</v>
      </c>
      <c r="AG3">
        <v>2</v>
      </c>
      <c r="AH3">
        <v>2</v>
      </c>
    </row>
    <row r="4" spans="1:34" x14ac:dyDescent="0.3">
      <c r="A4">
        <f>ROW()-1</f>
        <v>3</v>
      </c>
      <c r="B4" s="1">
        <v>44462.862754629627</v>
      </c>
      <c r="C4">
        <v>156</v>
      </c>
      <c r="D4" t="s">
        <v>96</v>
      </c>
      <c r="E4" t="s">
        <v>103</v>
      </c>
      <c r="F4" t="s">
        <v>22</v>
      </c>
      <c r="G4">
        <v>55</v>
      </c>
      <c r="H4" s="2">
        <v>32500</v>
      </c>
      <c r="I4" t="s">
        <v>94</v>
      </c>
      <c r="J4" t="s">
        <v>95</v>
      </c>
      <c r="K4">
        <v>1</v>
      </c>
      <c r="N4" t="s">
        <v>102</v>
      </c>
      <c r="O4" t="s">
        <v>95</v>
      </c>
      <c r="P4">
        <v>1</v>
      </c>
      <c r="S4">
        <v>50</v>
      </c>
      <c r="T4">
        <v>600</v>
      </c>
      <c r="Y4">
        <v>5</v>
      </c>
      <c r="Z4">
        <v>500</v>
      </c>
      <c r="AE4" s="1">
        <v>44462.862858796296</v>
      </c>
      <c r="AF4">
        <v>4</v>
      </c>
      <c r="AG4">
        <v>3</v>
      </c>
    </row>
    <row r="5" spans="1:34" x14ac:dyDescent="0.3">
      <c r="B5" s="1"/>
      <c r="AE5" s="1"/>
    </row>
    <row r="6" spans="1:34" x14ac:dyDescent="0.3">
      <c r="B6" s="1"/>
      <c r="AE6" s="1"/>
    </row>
    <row r="7" spans="1:34" x14ac:dyDescent="0.3">
      <c r="B7" s="1"/>
      <c r="AE7" s="1"/>
    </row>
    <row r="8" spans="1:34" x14ac:dyDescent="0.3">
      <c r="B8" s="1"/>
      <c r="AE8" s="1"/>
    </row>
    <row r="9" spans="1:34" x14ac:dyDescent="0.3">
      <c r="AE9" s="1"/>
    </row>
    <row r="11" spans="1:34" x14ac:dyDescent="0.3">
      <c r="AE11" s="1"/>
    </row>
    <row r="12" spans="1:34" x14ac:dyDescent="0.3">
      <c r="AE12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C2F29-9521-4E1B-BC9D-F7C0B433B1D6}">
  <sheetPr codeName="Sheet5"/>
  <dimension ref="A1:B12"/>
  <sheetViews>
    <sheetView workbookViewId="0">
      <selection activeCell="B1" sqref="B1"/>
    </sheetView>
  </sheetViews>
  <sheetFormatPr defaultRowHeight="14.4" x14ac:dyDescent="0.3"/>
  <cols>
    <col min="1" max="1" width="22.44140625" customWidth="1"/>
    <col min="2" max="2" width="12.5546875" customWidth="1"/>
  </cols>
  <sheetData>
    <row r="1" spans="1:2" x14ac:dyDescent="0.3">
      <c r="A1" s="30" t="s">
        <v>68</v>
      </c>
      <c r="B1" t="s">
        <v>10</v>
      </c>
    </row>
    <row r="2" spans="1:2" x14ac:dyDescent="0.3">
      <c r="A2" s="30" t="s">
        <v>75</v>
      </c>
      <c r="B2" t="s">
        <v>19</v>
      </c>
    </row>
    <row r="3" spans="1:2" x14ac:dyDescent="0.3">
      <c r="A3" s="30" t="s">
        <v>76</v>
      </c>
      <c r="B3" t="s">
        <v>20</v>
      </c>
    </row>
    <row r="4" spans="1:2" x14ac:dyDescent="0.3">
      <c r="A4" s="30" t="s">
        <v>77</v>
      </c>
      <c r="B4" t="s">
        <v>21</v>
      </c>
    </row>
    <row r="5" spans="1:2" x14ac:dyDescent="0.3">
      <c r="A5" s="30" t="s">
        <v>78</v>
      </c>
      <c r="B5" t="s">
        <v>22</v>
      </c>
    </row>
    <row r="6" spans="1:2" x14ac:dyDescent="0.3">
      <c r="A6" s="30"/>
      <c r="B6" t="s">
        <v>23</v>
      </c>
    </row>
    <row r="7" spans="1:2" x14ac:dyDescent="0.3">
      <c r="A7" s="30"/>
      <c r="B7" t="s">
        <v>24</v>
      </c>
    </row>
    <row r="8" spans="1:2" x14ac:dyDescent="0.3">
      <c r="A8" s="30"/>
      <c r="B8" t="s">
        <v>25</v>
      </c>
    </row>
    <row r="9" spans="1:2" x14ac:dyDescent="0.3">
      <c r="A9" s="31"/>
      <c r="B9" t="s">
        <v>26</v>
      </c>
    </row>
    <row r="10" spans="1:2" x14ac:dyDescent="0.3">
      <c r="A10" s="31"/>
      <c r="B10" t="s">
        <v>27</v>
      </c>
    </row>
    <row r="11" spans="1:2" x14ac:dyDescent="0.3">
      <c r="A11" s="30"/>
      <c r="B11" t="s">
        <v>28</v>
      </c>
    </row>
    <row r="12" spans="1:2" x14ac:dyDescent="0.3">
      <c r="A12" s="30"/>
      <c r="B12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NewBank</vt:lpstr>
      <vt:lpstr>NewBuyer</vt:lpstr>
      <vt:lpstr>SellerBill</vt:lpstr>
      <vt:lpstr>SellerBillDetails</vt:lpstr>
      <vt:lpstr>Home</vt:lpstr>
      <vt:lpstr>xyz_Pune_testName</vt:lpstr>
      <vt:lpstr>abc_dyari_testName</vt:lpstr>
      <vt:lpstr>temp_Sheet</vt:lpstr>
      <vt:lpstr>NewSeller</vt:lpstr>
      <vt:lpstr>NewGutkaEntry</vt:lpstr>
      <vt:lpstr>Editable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Akshiv Nagta</dc:creator>
  <cp:lastModifiedBy>Akshiv Nagta</cp:lastModifiedBy>
  <cp:lastPrinted>2021-09-07T06:52:19Z</cp:lastPrinted>
  <dcterms:created xsi:type="dcterms:W3CDTF">2015-06-05T18:17:20Z</dcterms:created>
  <dcterms:modified xsi:type="dcterms:W3CDTF">2021-09-23T15:13:41Z</dcterms:modified>
</cp:coreProperties>
</file>